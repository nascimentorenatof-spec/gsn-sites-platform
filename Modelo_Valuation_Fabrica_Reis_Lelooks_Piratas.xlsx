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FCD" sheetId="2" state="visible" r:id="rId2"/>
    <sheet name="Multiplos" sheetId="3" state="visible" r:id="rId3"/>
    <sheet name="Patrimonial" sheetId="4" state="visible" r:id="rId4"/>
    <sheet name="Sensibilidade" sheetId="5" state="visible" r:id="rId5"/>
    <sheet name="Resumo" sheetId="6" state="visible" r:id="rId6"/>
    <sheet name="Fontes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R$ #,##0.0;[Red](R$ #,##0.0);-"/>
    <numFmt numFmtId="165" formatCode="0.0%"/>
    <numFmt numFmtId="166" formatCode="0.0x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Receita e EBITDA projetados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'FCD'!$C$1:$G$1</f>
            </numRef>
          </cat>
          <val>
            <numRef>
              <f>'FCD'!$C$2:$G$2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'FCD'!$C$1:$G$1</f>
            </numRef>
          </cat>
          <val>
            <numRef>
              <f>'FCD'!$C$8:$G$8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FCD por WACC</a:t>
            </a:r>
          </a:p>
        </rich>
      </tx>
    </title>
    <plotArea>
      <lineChart>
        <grouping val="standard"/>
        <ser>
          <idx val="0"/>
          <order val="0"/>
          <tx>
            <strRef>
              <f>'Sensibilidade'!D2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'Sensibilidade'!$A$3:$A$7</f>
            </numRef>
          </cat>
          <val>
            <numRef>
              <f>'Sensibilidade'!$D$3:$D$7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WACC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Enterprise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Valor por metodologia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'Resumo'!$A$2:$A$4</f>
            </numRef>
          </cat>
          <val>
            <numRef>
              <f>'Resumo'!$B$2:$B$4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  <col width="10" customWidth="1" min="4" max="4"/>
  </cols>
  <sheetData>
    <row r="1">
      <c r="A1" s="1" t="inlineStr">
        <is>
          <t>Modelo de Valuation - Fabrica Reis / marcas Lelooks e Piratas for 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Premissas operacionais editaveis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Receita base 2025</t>
        </is>
      </c>
      <c r="B4" s="4" t="n">
        <v>18000000</v>
      </c>
      <c r="C4" s="2" t="inlineStr">
        <is>
          <t>Receita liquida anual normalizada da fabrica</t>
        </is>
      </c>
      <c r="D4" s="2" t="inlineStr">
        <is>
          <t>R$</t>
        </is>
      </c>
      <c r="E4" s="2" t="n"/>
      <c r="F4" s="2" t="n"/>
      <c r="G4" s="2" t="n"/>
      <c r="H4" s="2" t="n"/>
    </row>
    <row r="5">
      <c r="A5" s="2" t="inlineStr">
        <is>
          <t>Participacao Lelooks</t>
        </is>
      </c>
      <c r="B5" s="5" t="n">
        <v>0.58</v>
      </c>
      <c r="C5" s="2" t="inlineStr">
        <is>
          <t>Mix de receita feminina</t>
        </is>
      </c>
      <c r="D5" s="2" t="inlineStr">
        <is>
          <t>%</t>
        </is>
      </c>
      <c r="E5" s="2" t="n"/>
      <c r="F5" s="2" t="n"/>
      <c r="G5" s="2" t="n"/>
      <c r="H5" s="2" t="n"/>
    </row>
    <row r="6">
      <c r="A6" s="2" t="inlineStr">
        <is>
          <t>Participacao Piratas for men</t>
        </is>
      </c>
      <c r="B6" s="6">
        <f>1-B5</f>
        <v/>
      </c>
      <c r="C6" s="2" t="inlineStr">
        <is>
          <t>Mix de receita masculina</t>
        </is>
      </c>
      <c r="D6" s="2" t="inlineStr">
        <is>
          <t>%</t>
        </is>
      </c>
      <c r="E6" s="2" t="n"/>
      <c r="F6" s="2" t="n"/>
      <c r="G6" s="2" t="n"/>
      <c r="H6" s="2" t="n"/>
    </row>
    <row r="7">
      <c r="A7" s="2" t="inlineStr">
        <is>
          <t>Crescimento receita ano 1</t>
        </is>
      </c>
      <c r="B7" s="5" t="n">
        <v>0.12</v>
      </c>
      <c r="C7" s="2" t="inlineStr">
        <is>
          <t>Expansao de vendas</t>
        </is>
      </c>
      <c r="D7" s="2" t="inlineStr">
        <is>
          <t>%</t>
        </is>
      </c>
      <c r="E7" s="2" t="n"/>
      <c r="F7" s="2" t="n"/>
      <c r="G7" s="2" t="n"/>
      <c r="H7" s="2" t="n"/>
    </row>
    <row r="8">
      <c r="A8" s="2" t="inlineStr">
        <is>
          <t>Crescimento receita ano 2</t>
        </is>
      </c>
      <c r="B8" s="5" t="n">
        <v>0.1</v>
      </c>
      <c r="C8" s="2" t="inlineStr">
        <is>
          <t>Expansao de vendas</t>
        </is>
      </c>
      <c r="D8" s="2" t="inlineStr">
        <is>
          <t>%</t>
        </is>
      </c>
      <c r="E8" s="2" t="n"/>
      <c r="F8" s="2" t="n"/>
      <c r="G8" s="2" t="n"/>
      <c r="H8" s="2" t="n"/>
    </row>
    <row r="9">
      <c r="A9" s="2" t="inlineStr">
        <is>
          <t>Crescimento receita ano 3</t>
        </is>
      </c>
      <c r="B9" s="5" t="n">
        <v>0.08</v>
      </c>
      <c r="C9" s="2" t="inlineStr">
        <is>
          <t>Expansao de vendas</t>
        </is>
      </c>
      <c r="D9" s="2" t="inlineStr">
        <is>
          <t>%</t>
        </is>
      </c>
      <c r="E9" s="2" t="n"/>
      <c r="F9" s="2" t="n"/>
      <c r="G9" s="2" t="n"/>
      <c r="H9" s="2" t="n"/>
    </row>
    <row r="10">
      <c r="A10" s="2" t="inlineStr">
        <is>
          <t>Crescimento receita ano 4</t>
        </is>
      </c>
      <c r="B10" s="5" t="n">
        <v>0.07000000000000001</v>
      </c>
      <c r="C10" s="2" t="inlineStr">
        <is>
          <t>Expansao de vendas</t>
        </is>
      </c>
      <c r="D10" s="2" t="inlineStr">
        <is>
          <t>%</t>
        </is>
      </c>
      <c r="E10" s="2" t="n"/>
      <c r="F10" s="2" t="n"/>
      <c r="G10" s="2" t="n"/>
      <c r="H10" s="2" t="n"/>
    </row>
    <row r="11">
      <c r="A11" s="2" t="inlineStr">
        <is>
          <t>Crescimento receita ano 5</t>
        </is>
      </c>
      <c r="B11" s="5" t="n">
        <v>0.06</v>
      </c>
      <c r="C11" s="2" t="inlineStr">
        <is>
          <t>Expansao de vendas</t>
        </is>
      </c>
      <c r="D11" s="2" t="inlineStr">
        <is>
          <t>%</t>
        </is>
      </c>
      <c r="E11" s="2" t="n"/>
      <c r="F11" s="2" t="n"/>
      <c r="G11" s="2" t="n"/>
      <c r="H11" s="2" t="n"/>
    </row>
    <row r="12">
      <c r="A12" s="2" t="inlineStr">
        <is>
          <t>Margem bruta</t>
        </is>
      </c>
      <c r="B12" s="5" t="n">
        <v>0.48</v>
      </c>
      <c r="C12" s="2" t="inlineStr">
        <is>
          <t>Receita menos CPV</t>
        </is>
      </c>
      <c r="D12" s="2" t="inlineStr">
        <is>
          <t>%</t>
        </is>
      </c>
      <c r="E12" s="2" t="n"/>
      <c r="F12" s="2" t="n"/>
      <c r="G12" s="2" t="n"/>
      <c r="H12" s="2" t="n"/>
    </row>
    <row r="13">
      <c r="A13" s="2" t="inlineStr">
        <is>
          <t>Despesas comerciais/administrativas</t>
        </is>
      </c>
      <c r="B13" s="5" t="n">
        <v>0.28</v>
      </c>
      <c r="C13" s="2" t="inlineStr">
        <is>
          <t>SG&amp;A sobre receita</t>
        </is>
      </c>
      <c r="D13" s="2" t="inlineStr">
        <is>
          <t>%</t>
        </is>
      </c>
      <c r="E13" s="2" t="n"/>
      <c r="F13" s="2" t="n"/>
      <c r="G13" s="2" t="n"/>
      <c r="H13" s="2" t="n"/>
    </row>
    <row r="14">
      <c r="A14" s="2" t="inlineStr">
        <is>
          <t>Ajustes de EBITDA</t>
        </is>
      </c>
      <c r="B14" s="4" t="n">
        <v>0</v>
      </c>
      <c r="C14" s="2" t="inlineStr">
        <is>
          <t>Ajustes recorrentes: pro-labore, alugueis, one-offs</t>
        </is>
      </c>
      <c r="D14" s="2" t="inlineStr">
        <is>
          <t>R$</t>
        </is>
      </c>
      <c r="E14" s="2" t="n"/>
      <c r="F14" s="2" t="n"/>
      <c r="G14" s="2" t="n"/>
      <c r="H14" s="2" t="n"/>
    </row>
    <row r="15">
      <c r="A15" s="2" t="inlineStr">
        <is>
          <t>Depreciacao / receita</t>
        </is>
      </c>
      <c r="B15" s="5" t="n">
        <v>0.03</v>
      </c>
      <c r="C15" s="2" t="inlineStr">
        <is>
          <t>Depreciacao e amortizacao</t>
        </is>
      </c>
      <c r="D15" s="2" t="inlineStr">
        <is>
          <t>%</t>
        </is>
      </c>
      <c r="E15" s="2" t="n"/>
      <c r="F15" s="2" t="n"/>
      <c r="G15" s="2" t="n"/>
      <c r="H15" s="2" t="n"/>
    </row>
    <row r="16">
      <c r="A16" s="2" t="inlineStr">
        <is>
          <t>Capex / receita</t>
        </is>
      </c>
      <c r="B16" s="5" t="n">
        <v>0.04</v>
      </c>
      <c r="C16" s="2" t="inlineStr">
        <is>
          <t>Reposicao e expansao de maquinas</t>
        </is>
      </c>
      <c r="D16" s="2" t="inlineStr">
        <is>
          <t>%</t>
        </is>
      </c>
      <c r="E16" s="2" t="n"/>
      <c r="F16" s="2" t="n"/>
      <c r="G16" s="2" t="n"/>
      <c r="H16" s="2" t="n"/>
    </row>
    <row r="17">
      <c r="A17" s="2" t="inlineStr">
        <is>
          <t>Capital de giro / incremento receita</t>
        </is>
      </c>
      <c r="B17" s="5" t="n">
        <v>0.12</v>
      </c>
      <c r="C17" s="2" t="inlineStr">
        <is>
          <t>Necessidade incremental</t>
        </is>
      </c>
      <c r="D17" s="2" t="inlineStr">
        <is>
          <t>%</t>
        </is>
      </c>
      <c r="E17" s="2" t="n"/>
      <c r="F17" s="2" t="n"/>
      <c r="G17" s="2" t="n"/>
      <c r="H17" s="2" t="n"/>
    </row>
    <row r="18">
      <c r="A18" s="2" t="inlineStr">
        <is>
          <t>Aliquota IR/CSLL efetiva</t>
        </is>
      </c>
      <c r="B18" s="5" t="n">
        <v>0.24</v>
      </c>
      <c r="C18" s="2" t="inlineStr">
        <is>
          <t>Taxa efetiva estimada</t>
        </is>
      </c>
      <c r="D18" s="2" t="inlineStr">
        <is>
          <t>%</t>
        </is>
      </c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inlineStr">
        <is>
          <t>Taxa de desconto: build-up de risco setorial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Taxa livre de risco / CDI longo prazo</t>
        </is>
      </c>
      <c r="B22" s="5" t="n">
        <v>0.105</v>
      </c>
      <c r="C22" s="2" t="inlineStr">
        <is>
          <t>Base Brasil nominal</t>
        </is>
      </c>
      <c r="D22" s="2" t="inlineStr">
        <is>
          <t>%</t>
        </is>
      </c>
      <c r="E22" s="2" t="n"/>
      <c r="F22" s="2" t="n"/>
      <c r="G22" s="2" t="n"/>
      <c r="H22" s="2" t="n"/>
    </row>
    <row r="23">
      <c r="A23" s="2" t="inlineStr">
        <is>
          <t>Premio de risco de mercado</t>
        </is>
      </c>
      <c r="B23" s="5" t="n">
        <v>0.065</v>
      </c>
      <c r="C23" s="2" t="inlineStr">
        <is>
          <t>Risco de equity</t>
        </is>
      </c>
      <c r="D23" s="2" t="inlineStr">
        <is>
          <t>%</t>
        </is>
      </c>
      <c r="E23" s="2" t="n"/>
      <c r="F23" s="2" t="n"/>
      <c r="G23" s="2" t="n"/>
      <c r="H23" s="2" t="n"/>
    </row>
    <row r="24">
      <c r="A24" s="2" t="inlineStr">
        <is>
          <t>Beta desalavancado moda/varejo</t>
        </is>
      </c>
      <c r="B24" s="7" t="n">
        <v>0.9</v>
      </c>
      <c r="C24" s="2" t="inlineStr">
        <is>
          <t>Sensibilidade setorial</t>
        </is>
      </c>
      <c r="D24" s="2" t="inlineStr">
        <is>
          <t>x</t>
        </is>
      </c>
      <c r="E24" s="2" t="n"/>
      <c r="F24" s="2" t="n"/>
      <c r="G24" s="2" t="n"/>
      <c r="H24" s="2" t="n"/>
    </row>
    <row r="25">
      <c r="A25" s="2" t="inlineStr">
        <is>
          <t>Premio tamanho/empresa fechada</t>
        </is>
      </c>
      <c r="B25" s="5" t="n">
        <v>0.035</v>
      </c>
      <c r="C25" s="2" t="inlineStr">
        <is>
          <t>Pequena empresa e liquidez</t>
        </is>
      </c>
      <c r="D25" s="2" t="inlineStr">
        <is>
          <t>%</t>
        </is>
      </c>
      <c r="E25" s="2" t="n"/>
      <c r="F25" s="2" t="n"/>
      <c r="G25" s="2" t="n"/>
      <c r="H25" s="2" t="n"/>
    </row>
    <row r="26">
      <c r="A26" s="2" t="inlineStr">
        <is>
          <t>Premio concentracao de clientes/canais</t>
        </is>
      </c>
      <c r="B26" s="5" t="n">
        <v>0.02</v>
      </c>
      <c r="C26" s="2" t="inlineStr">
        <is>
          <t>Dependencia comercial</t>
        </is>
      </c>
      <c r="D26" s="2" t="inlineStr">
        <is>
          <t>%</t>
        </is>
      </c>
      <c r="E26" s="2" t="n"/>
      <c r="F26" s="2" t="n"/>
      <c r="G26" s="2" t="n"/>
      <c r="H26" s="2" t="n"/>
    </row>
    <row r="27">
      <c r="A27" s="2" t="inlineStr">
        <is>
          <t>Premio moda/estoque/sazonalidade</t>
        </is>
      </c>
      <c r="B27" s="5" t="n">
        <v>0.02</v>
      </c>
      <c r="C27" s="2" t="inlineStr">
        <is>
          <t>Colecoes, ruptura e markdowns</t>
        </is>
      </c>
      <c r="D27" s="2" t="inlineStr">
        <is>
          <t>%</t>
        </is>
      </c>
      <c r="E27" s="2" t="n"/>
      <c r="F27" s="2" t="n"/>
      <c r="G27" s="2" t="n"/>
      <c r="H27" s="2" t="n"/>
    </row>
    <row r="28">
      <c r="A28" s="2" t="inlineStr">
        <is>
          <t>Custo de capital proprio</t>
        </is>
      </c>
      <c r="B28" s="6">
        <f>B22+B23*B24+B25+B26+B27</f>
        <v/>
      </c>
      <c r="C28" s="2" t="inlineStr">
        <is>
          <t>CAPM ajustado</t>
        </is>
      </c>
      <c r="D28" s="2" t="inlineStr">
        <is>
          <t>%</t>
        </is>
      </c>
      <c r="E28" s="2" t="n"/>
      <c r="F28" s="2" t="n"/>
      <c r="G28" s="2" t="n"/>
      <c r="H28" s="2" t="n"/>
    </row>
    <row r="29">
      <c r="A29" s="2" t="inlineStr">
        <is>
          <t>Custo da divida antes IR</t>
        </is>
      </c>
      <c r="B29" s="5" t="n">
        <v>0.145</v>
      </c>
      <c r="C29" s="2" t="inlineStr">
        <is>
          <t>Custo bancario estimado</t>
        </is>
      </c>
      <c r="D29" s="2" t="inlineStr">
        <is>
          <t>%</t>
        </is>
      </c>
      <c r="E29" s="2" t="n"/>
      <c r="F29" s="2" t="n"/>
      <c r="G29" s="2" t="n"/>
      <c r="H29" s="2" t="n"/>
    </row>
    <row r="30">
      <c r="A30" s="2" t="inlineStr">
        <is>
          <t>Peso equity</t>
        </is>
      </c>
      <c r="B30" s="5" t="n">
        <v>0.75</v>
      </c>
      <c r="C30" s="2" t="inlineStr">
        <is>
          <t>Estrutura alvo</t>
        </is>
      </c>
      <c r="D30" s="2" t="inlineStr">
        <is>
          <t>%</t>
        </is>
      </c>
      <c r="E30" s="2" t="n"/>
      <c r="F30" s="2" t="n"/>
      <c r="G30" s="2" t="n"/>
      <c r="H30" s="2" t="n"/>
    </row>
    <row r="31">
      <c r="A31" s="2" t="inlineStr">
        <is>
          <t>Peso divida</t>
        </is>
      </c>
      <c r="B31" s="6">
        <f>1-B30</f>
        <v/>
      </c>
      <c r="C31" s="2" t="inlineStr">
        <is>
          <t>Estrutura alvo</t>
        </is>
      </c>
      <c r="D31" s="2" t="inlineStr">
        <is>
          <t>%</t>
        </is>
      </c>
      <c r="E31" s="2" t="n"/>
      <c r="F31" s="2" t="n"/>
      <c r="G31" s="2" t="n"/>
      <c r="H31" s="2" t="n"/>
    </row>
    <row r="32">
      <c r="A32" s="2" t="inlineStr">
        <is>
          <t>WACC nominal</t>
        </is>
      </c>
      <c r="B32" s="6">
        <f>B30*B28+B31*B29*(1-B18)</f>
        <v/>
      </c>
      <c r="C32" s="2" t="inlineStr">
        <is>
          <t>Taxa de desconto FCD</t>
        </is>
      </c>
      <c r="D32" s="2" t="inlineStr">
        <is>
          <t>%</t>
        </is>
      </c>
      <c r="E32" s="2" t="n"/>
      <c r="F32" s="2" t="n"/>
      <c r="G32" s="2" t="n"/>
      <c r="H32" s="2" t="n"/>
    </row>
    <row r="33">
      <c r="A33" s="2" t="inlineStr">
        <is>
          <t>Crescimento perpetuo</t>
        </is>
      </c>
      <c r="B33" s="5" t="n">
        <v>0.045</v>
      </c>
      <c r="C33" s="2" t="inlineStr">
        <is>
          <t>Terminal nominal conservador</t>
        </is>
      </c>
      <c r="D33" s="2" t="inlineStr">
        <is>
          <t>%</t>
        </is>
      </c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3" t="inlineStr">
        <is>
          <t>Pesos do valor final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Peso FCD</t>
        </is>
      </c>
      <c r="B37" s="5" t="n">
        <v>0.55</v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Peso multiplos</t>
        </is>
      </c>
      <c r="B38" s="5" t="n">
        <v>0.25</v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Peso patrimonial</t>
        </is>
      </c>
      <c r="B39" s="5" t="n">
        <v>0.2</v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Total</t>
        </is>
      </c>
      <c r="B40" s="6">
        <f>SUM(B37:B39)</f>
        <v/>
      </c>
      <c r="C40" s="2" t="n"/>
      <c r="D40" s="2" t="n"/>
      <c r="E40" s="2" t="n"/>
      <c r="F40" s="2" t="n"/>
      <c r="G40" s="2" t="n"/>
      <c r="H40" s="2" t="n"/>
    </row>
  </sheetData>
  <mergeCells count="4">
    <mergeCell ref="A36:H36"/>
    <mergeCell ref="A3:H3"/>
    <mergeCell ref="A21:H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Fluxo de Caixa Descontado</t>
        </is>
      </c>
      <c r="B1" s="1" t="inlineStr">
        <is>
          <t>2025 base</t>
        </is>
      </c>
      <c r="C1" s="1" t="inlineStr">
        <is>
          <t>Ano 1</t>
        </is>
      </c>
      <c r="D1" s="1" t="inlineStr">
        <is>
          <t>Ano 2</t>
        </is>
      </c>
      <c r="E1" s="1" t="inlineStr">
        <is>
          <t>Ano 3</t>
        </is>
      </c>
      <c r="F1" s="1" t="inlineStr">
        <is>
          <t>Ano 4</t>
        </is>
      </c>
      <c r="G1" s="1" t="inlineStr">
        <is>
          <t>Ano 5</t>
        </is>
      </c>
    </row>
    <row r="2">
      <c r="A2" s="2" t="inlineStr">
        <is>
          <t>Receita liquida</t>
        </is>
      </c>
      <c r="B2" s="8">
        <f>Inputs!B4</f>
        <v/>
      </c>
      <c r="C2" s="8">
        <f>B2*(1+Inputs!B7)</f>
        <v/>
      </c>
      <c r="D2" s="8">
        <f>C2*(1+Inputs!B8)</f>
        <v/>
      </c>
      <c r="E2" s="8">
        <f>D2*(1+Inputs!B9)</f>
        <v/>
      </c>
      <c r="F2" s="8">
        <f>E2*(1+Inputs!B10)</f>
        <v/>
      </c>
      <c r="G2" s="8">
        <f>F2*(1+Inputs!B11)</f>
        <v/>
      </c>
    </row>
    <row r="3">
      <c r="A3" s="2" t="inlineStr">
        <is>
          <t>Lelooks</t>
        </is>
      </c>
      <c r="B3" s="8">
        <f>B2*Inputs!B5</f>
        <v/>
      </c>
      <c r="C3" s="8">
        <f>C2*Inputs!B5</f>
        <v/>
      </c>
      <c r="D3" s="8">
        <f>D2*Inputs!B5</f>
        <v/>
      </c>
      <c r="E3" s="8">
        <f>E2*Inputs!B5</f>
        <v/>
      </c>
      <c r="F3" s="8">
        <f>F2*Inputs!B5</f>
        <v/>
      </c>
      <c r="G3" s="8">
        <f>G2*Inputs!B5</f>
        <v/>
      </c>
    </row>
    <row r="4">
      <c r="A4" s="2" t="inlineStr">
        <is>
          <t>Piratas for men</t>
        </is>
      </c>
      <c r="B4" s="8">
        <f>B2*Inputs!B6</f>
        <v/>
      </c>
      <c r="C4" s="8">
        <f>C2*Inputs!B6</f>
        <v/>
      </c>
      <c r="D4" s="8">
        <f>D2*Inputs!B6</f>
        <v/>
      </c>
      <c r="E4" s="8">
        <f>E2*Inputs!B6</f>
        <v/>
      </c>
      <c r="F4" s="8">
        <f>F2*Inputs!B6</f>
        <v/>
      </c>
      <c r="G4" s="8">
        <f>G2*Inputs!B6</f>
        <v/>
      </c>
    </row>
    <row r="5">
      <c r="A5" s="2" t="inlineStr">
        <is>
          <t>CPV</t>
        </is>
      </c>
      <c r="B5" s="8">
        <f>-B2*(1-Inputs!B12)</f>
        <v/>
      </c>
      <c r="C5" s="8">
        <f>-C2*(1-Inputs!B12)</f>
        <v/>
      </c>
      <c r="D5" s="8">
        <f>-D2*(1-Inputs!B12)</f>
        <v/>
      </c>
      <c r="E5" s="8">
        <f>-E2*(1-Inputs!B12)</f>
        <v/>
      </c>
      <c r="F5" s="8">
        <f>-F2*(1-Inputs!B12)</f>
        <v/>
      </c>
      <c r="G5" s="8">
        <f>-G2*(1-Inputs!B12)</f>
        <v/>
      </c>
    </row>
    <row r="6">
      <c r="A6" s="2" t="inlineStr">
        <is>
          <t>Lucro bruto</t>
        </is>
      </c>
      <c r="B6" s="8">
        <f>B2+B5</f>
        <v/>
      </c>
      <c r="C6" s="8">
        <f>C2+C5</f>
        <v/>
      </c>
      <c r="D6" s="8">
        <f>D2+D5</f>
        <v/>
      </c>
      <c r="E6" s="8">
        <f>E2+E5</f>
        <v/>
      </c>
      <c r="F6" s="8">
        <f>F2+F5</f>
        <v/>
      </c>
      <c r="G6" s="8">
        <f>G2+G5</f>
        <v/>
      </c>
    </row>
    <row r="7">
      <c r="A7" s="2" t="inlineStr">
        <is>
          <t>Despesas comerciais/adm.</t>
        </is>
      </c>
      <c r="B7" s="8">
        <f>-B2*Inputs!B13</f>
        <v/>
      </c>
      <c r="C7" s="8">
        <f>-C2*Inputs!B13</f>
        <v/>
      </c>
      <c r="D7" s="8">
        <f>-D2*Inputs!B13</f>
        <v/>
      </c>
      <c r="E7" s="8">
        <f>-E2*Inputs!B13</f>
        <v/>
      </c>
      <c r="F7" s="8">
        <f>-F2*Inputs!B13</f>
        <v/>
      </c>
      <c r="G7" s="8">
        <f>-G2*Inputs!B13</f>
        <v/>
      </c>
    </row>
    <row r="8">
      <c r="A8" s="2" t="inlineStr">
        <is>
          <t>EBITDA ajustado</t>
        </is>
      </c>
      <c r="B8" s="8">
        <f>B6+B7+Inputs!B14</f>
        <v/>
      </c>
      <c r="C8" s="8">
        <f>C6+C7+Inputs!B14</f>
        <v/>
      </c>
      <c r="D8" s="8">
        <f>D6+D7+Inputs!B14</f>
        <v/>
      </c>
      <c r="E8" s="8">
        <f>E6+E7+Inputs!B14</f>
        <v/>
      </c>
      <c r="F8" s="8">
        <f>F6+F7+Inputs!B14</f>
        <v/>
      </c>
      <c r="G8" s="8">
        <f>G6+G7+Inputs!B14</f>
        <v/>
      </c>
    </row>
    <row r="9">
      <c r="A9" s="2" t="inlineStr">
        <is>
          <t>Margem EBITDA</t>
        </is>
      </c>
      <c r="B9" s="6">
        <f>B8/B2</f>
        <v/>
      </c>
      <c r="C9" s="6">
        <f>C8/C2</f>
        <v/>
      </c>
      <c r="D9" s="6">
        <f>D8/D2</f>
        <v/>
      </c>
      <c r="E9" s="6">
        <f>E8/E2</f>
        <v/>
      </c>
      <c r="F9" s="6">
        <f>F8/F2</f>
        <v/>
      </c>
      <c r="G9" s="6">
        <f>G8/G2</f>
        <v/>
      </c>
    </row>
    <row r="10">
      <c r="A10" s="2" t="inlineStr">
        <is>
          <t>Depreciacao</t>
        </is>
      </c>
      <c r="B10" s="8">
        <f>-B2*Inputs!B15</f>
        <v/>
      </c>
      <c r="C10" s="8">
        <f>-C2*Inputs!B15</f>
        <v/>
      </c>
      <c r="D10" s="8">
        <f>-D2*Inputs!B15</f>
        <v/>
      </c>
      <c r="E10" s="8">
        <f>-E2*Inputs!B15</f>
        <v/>
      </c>
      <c r="F10" s="8">
        <f>-F2*Inputs!B15</f>
        <v/>
      </c>
      <c r="G10" s="8">
        <f>-G2*Inputs!B15</f>
        <v/>
      </c>
    </row>
    <row r="11">
      <c r="A11" s="2" t="inlineStr">
        <is>
          <t>EBIT</t>
        </is>
      </c>
      <c r="B11" s="8">
        <f>B8+B10</f>
        <v/>
      </c>
      <c r="C11" s="8">
        <f>C8+C10</f>
        <v/>
      </c>
      <c r="D11" s="8">
        <f>D8+D10</f>
        <v/>
      </c>
      <c r="E11" s="8">
        <f>E8+E10</f>
        <v/>
      </c>
      <c r="F11" s="8">
        <f>F8+F10</f>
        <v/>
      </c>
      <c r="G11" s="8">
        <f>G8+G10</f>
        <v/>
      </c>
    </row>
    <row r="12">
      <c r="A12" s="2" t="inlineStr">
        <is>
          <t>Impostos</t>
        </is>
      </c>
      <c r="B12" s="8">
        <f>-MAX(0,B11)*Inputs!B18</f>
        <v/>
      </c>
      <c r="C12" s="8">
        <f>-MAX(0,C11)*Inputs!B18</f>
        <v/>
      </c>
      <c r="D12" s="8">
        <f>-MAX(0,D11)*Inputs!B18</f>
        <v/>
      </c>
      <c r="E12" s="8">
        <f>-MAX(0,E11)*Inputs!B18</f>
        <v/>
      </c>
      <c r="F12" s="8">
        <f>-MAX(0,F11)*Inputs!B18</f>
        <v/>
      </c>
      <c r="G12" s="8">
        <f>-MAX(0,G11)*Inputs!B18</f>
        <v/>
      </c>
    </row>
    <row r="13">
      <c r="A13" s="2" t="inlineStr">
        <is>
          <t>NOPAT</t>
        </is>
      </c>
      <c r="B13" s="8">
        <f>B11+B12</f>
        <v/>
      </c>
      <c r="C13" s="8">
        <f>C11+C12</f>
        <v/>
      </c>
      <c r="D13" s="8">
        <f>D11+D12</f>
        <v/>
      </c>
      <c r="E13" s="8">
        <f>E11+E12</f>
        <v/>
      </c>
      <c r="F13" s="8">
        <f>F11+F12</f>
        <v/>
      </c>
      <c r="G13" s="8">
        <f>G11+G12</f>
        <v/>
      </c>
    </row>
    <row r="14">
      <c r="A14" s="2" t="inlineStr">
        <is>
          <t>+ Depreciacao</t>
        </is>
      </c>
      <c r="B14" s="8">
        <f>-B10</f>
        <v/>
      </c>
      <c r="C14" s="8">
        <f>-C10</f>
        <v/>
      </c>
      <c r="D14" s="8">
        <f>-D10</f>
        <v/>
      </c>
      <c r="E14" s="8">
        <f>-E10</f>
        <v/>
      </c>
      <c r="F14" s="8">
        <f>-F10</f>
        <v/>
      </c>
      <c r="G14" s="8">
        <f>-G10</f>
        <v/>
      </c>
    </row>
    <row r="15">
      <c r="A15" s="2" t="inlineStr">
        <is>
          <t>- Capex</t>
        </is>
      </c>
      <c r="B15" s="8">
        <f>-B2*Inputs!B16</f>
        <v/>
      </c>
      <c r="C15" s="8">
        <f>-C2*Inputs!B16</f>
        <v/>
      </c>
      <c r="D15" s="8">
        <f>-D2*Inputs!B16</f>
        <v/>
      </c>
      <c r="E15" s="8">
        <f>-E2*Inputs!B16</f>
        <v/>
      </c>
      <c r="F15" s="8">
        <f>-F2*Inputs!B16</f>
        <v/>
      </c>
      <c r="G15" s="8">
        <f>-G2*Inputs!B16</f>
        <v/>
      </c>
    </row>
    <row r="16">
      <c r="A16" s="2" t="inlineStr">
        <is>
          <t>- Capital de giro incremental</t>
        </is>
      </c>
      <c r="B16" s="8" t="n">
        <v>0</v>
      </c>
      <c r="C16" s="8">
        <f>-(C2-B2)*Inputs!B17</f>
        <v/>
      </c>
      <c r="D16" s="8">
        <f>-(D2-C2)*Inputs!B17</f>
        <v/>
      </c>
      <c r="E16" s="8">
        <f>-(E2-D2)*Inputs!B17</f>
        <v/>
      </c>
      <c r="F16" s="8">
        <f>-(F2-E2)*Inputs!B17</f>
        <v/>
      </c>
      <c r="G16" s="8">
        <f>-(G2-F2)*Inputs!B17</f>
        <v/>
      </c>
    </row>
    <row r="17">
      <c r="A17" s="2" t="inlineStr">
        <is>
          <t>Fluxo de caixa livre</t>
        </is>
      </c>
      <c r="B17" s="8">
        <f>SUM(B13:B16)</f>
        <v/>
      </c>
      <c r="C17" s="8">
        <f>SUM(C13:C16)</f>
        <v/>
      </c>
      <c r="D17" s="8">
        <f>SUM(D13:D16)</f>
        <v/>
      </c>
      <c r="E17" s="8">
        <f>SUM(E13:E16)</f>
        <v/>
      </c>
      <c r="F17" s="8">
        <f>SUM(F13:F16)</f>
        <v/>
      </c>
      <c r="G17" s="8">
        <f>SUM(G13:G16)</f>
        <v/>
      </c>
    </row>
    <row r="18">
      <c r="A18" s="2" t="inlineStr">
        <is>
          <t>Fator desconto</t>
        </is>
      </c>
      <c r="B18" s="6" t="inlineStr"/>
      <c r="C18" s="6">
        <f>1/(1+Inputs!B32)^1</f>
        <v/>
      </c>
      <c r="D18" s="6">
        <f>1/(1+Inputs!B32)^2</f>
        <v/>
      </c>
      <c r="E18" s="6">
        <f>1/(1+Inputs!B32)^3</f>
        <v/>
      </c>
      <c r="F18" s="6">
        <f>1/(1+Inputs!B32)^4</f>
        <v/>
      </c>
      <c r="G18" s="6">
        <f>1/(1+Inputs!B32)^5</f>
        <v/>
      </c>
    </row>
    <row r="19">
      <c r="A19" s="2" t="inlineStr">
        <is>
          <t>VP FCL</t>
        </is>
      </c>
      <c r="B19" s="8" t="inlineStr"/>
      <c r="C19" s="8">
        <f>C17*C18</f>
        <v/>
      </c>
      <c r="D19" s="8">
        <f>D17*D18</f>
        <v/>
      </c>
      <c r="E19" s="8">
        <f>E17*E18</f>
        <v/>
      </c>
      <c r="F19" s="8">
        <f>F17*F18</f>
        <v/>
      </c>
      <c r="G19" s="8">
        <f>G17*G18</f>
        <v/>
      </c>
    </row>
    <row r="20">
      <c r="A20" s="2" t="inlineStr">
        <is>
          <t>Valor terminal</t>
        </is>
      </c>
      <c r="B20" s="8" t="inlineStr"/>
      <c r="C20" s="8" t="inlineStr"/>
      <c r="D20" s="8" t="inlineStr"/>
      <c r="E20" s="8" t="inlineStr"/>
      <c r="F20" s="8" t="inlineStr"/>
      <c r="G20" s="8">
        <f>G17*(1+Inputs!B33)/(Inputs!B32-Inputs!B33)</f>
        <v/>
      </c>
    </row>
    <row r="21">
      <c r="A21" s="2" t="inlineStr">
        <is>
          <t>VP valor terminal</t>
        </is>
      </c>
      <c r="B21" s="8" t="inlineStr"/>
      <c r="C21" s="8" t="inlineStr"/>
      <c r="D21" s="8" t="inlineStr"/>
      <c r="E21" s="8" t="inlineStr"/>
      <c r="F21" s="8" t="inlineStr"/>
      <c r="G21" s="8">
        <f>G20*G18</f>
        <v/>
      </c>
    </row>
    <row r="22">
      <c r="A22" s="2" t="inlineStr">
        <is>
          <t>Enterprise value FCD</t>
        </is>
      </c>
      <c r="B22" s="8" t="inlineStr"/>
      <c r="C22" s="8" t="inlineStr"/>
      <c r="D22" s="8" t="inlineStr"/>
      <c r="E22" s="8" t="inlineStr"/>
      <c r="F22" s="8" t="inlineStr"/>
      <c r="G22" s="8">
        <f>SUM(C19:G19)+G21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Pares brasileiros de moda/textil</t>
        </is>
      </c>
      <c r="B1" s="1" t="inlineStr">
        <is>
          <t>Ticker</t>
        </is>
      </c>
      <c r="C1" s="1" t="inlineStr">
        <is>
          <t>Receita LTM / anual</t>
        </is>
      </c>
      <c r="D1" s="1" t="inlineStr">
        <is>
          <t>EBITDA LTM / anual</t>
        </is>
      </c>
      <c r="E1" s="1" t="inlineStr">
        <is>
          <t>EV/Receita</t>
        </is>
      </c>
      <c r="F1" s="1" t="inlineStr">
        <is>
          <t>EV/EBITDA</t>
        </is>
      </c>
      <c r="G1" s="1" t="inlineStr">
        <is>
          <t>P/L</t>
        </is>
      </c>
      <c r="H1" s="1" t="inlineStr">
        <is>
          <t>Observacao</t>
        </is>
      </c>
    </row>
    <row r="2">
      <c r="A2" s="2" t="inlineStr">
        <is>
          <t>Lojas Renner</t>
        </is>
      </c>
      <c r="B2" s="2" t="inlineStr">
        <is>
          <t>LREN3</t>
        </is>
      </c>
      <c r="C2" s="8" t="n">
        <v>13838200000</v>
      </c>
      <c r="D2" s="8" t="n">
        <v>3200000000</v>
      </c>
      <c r="E2" s="7" t="n">
        <v>1.1</v>
      </c>
      <c r="F2" s="7" t="n">
        <v>5.3</v>
      </c>
      <c r="G2" s="7" t="n">
        <v>13</v>
      </c>
      <c r="H2" s="2" t="inlineStr">
        <is>
          <t>Varejo moda omnichannel</t>
        </is>
      </c>
    </row>
    <row r="3">
      <c r="A3" s="2" t="inlineStr">
        <is>
          <t>Riachuelo / Guararapes</t>
        </is>
      </c>
      <c r="B3" s="2" t="inlineStr">
        <is>
          <t>RIAA3</t>
        </is>
      </c>
      <c r="C3" s="8" t="n">
        <v>10500000000</v>
      </c>
      <c r="D3" s="8" t="n">
        <v>1800000000</v>
      </c>
      <c r="E3" s="7" t="n">
        <v>0.7</v>
      </c>
      <c r="F3" s="7" t="n">
        <v>4.2</v>
      </c>
      <c r="G3" s="7" t="n">
        <v>9.5</v>
      </c>
      <c r="H3" s="2" t="inlineStr">
        <is>
          <t>Varejo moda + financeiro</t>
        </is>
      </c>
    </row>
    <row r="4">
      <c r="A4" s="2" t="inlineStr">
        <is>
          <t>C&amp;A Brasil</t>
        </is>
      </c>
      <c r="B4" s="2" t="inlineStr">
        <is>
          <t>CEAB3</t>
        </is>
      </c>
      <c r="C4" s="8" t="n">
        <v>7980000000</v>
      </c>
      <c r="D4" s="8" t="n">
        <v>1240000000</v>
      </c>
      <c r="E4" s="7" t="n">
        <v>0.6</v>
      </c>
      <c r="F4" s="7" t="n">
        <v>4</v>
      </c>
      <c r="G4" s="7" t="n">
        <v>8.5</v>
      </c>
      <c r="H4" s="2" t="inlineStr">
        <is>
          <t>Varejo moda</t>
        </is>
      </c>
    </row>
    <row r="5">
      <c r="A5" s="2" t="inlineStr">
        <is>
          <t>Azzas 2154</t>
        </is>
      </c>
      <c r="B5" s="2" t="inlineStr">
        <is>
          <t>AZZA3</t>
        </is>
      </c>
      <c r="C5" s="8" t="n">
        <v>11800000000</v>
      </c>
      <c r="D5" s="8" t="n">
        <v>1940000000</v>
      </c>
      <c r="E5" s="7" t="n">
        <v>1</v>
      </c>
      <c r="F5" s="7" t="n">
        <v>7</v>
      </c>
      <c r="G5" s="7" t="n">
        <v>14</v>
      </c>
      <c r="H5" s="2" t="inlineStr">
        <is>
          <t>Grupo de marcas</t>
        </is>
      </c>
    </row>
    <row r="6">
      <c r="A6" s="2" t="inlineStr">
        <is>
          <t>Vulcabras</t>
        </is>
      </c>
      <c r="B6" s="2" t="inlineStr">
        <is>
          <t>VULC3</t>
        </is>
      </c>
      <c r="C6" s="8" t="n">
        <v>4200000000</v>
      </c>
      <c r="D6" s="8" t="n">
        <v>763100000</v>
      </c>
      <c r="E6" s="7" t="n">
        <v>1.3</v>
      </c>
      <c r="F6" s="7" t="n">
        <v>6.2</v>
      </c>
      <c r="G6" s="7" t="n">
        <v>10.5</v>
      </c>
      <c r="H6" s="2" t="inlineStr">
        <is>
          <t>Calcados e vestuario esportivo</t>
        </is>
      </c>
    </row>
    <row r="7">
      <c r="A7" s="2" t="inlineStr">
        <is>
          <t>Mediana</t>
        </is>
      </c>
      <c r="B7" s="2" t="inlineStr"/>
      <c r="C7" s="8">
        <f>MEDIAN(C2:C6)</f>
        <v/>
      </c>
      <c r="D7" s="8">
        <f>MEDIAN(D2:D6)</f>
        <v/>
      </c>
      <c r="E7" s="9">
        <f>MEDIAN(E2:E6)</f>
        <v/>
      </c>
      <c r="F7" s="9">
        <f>MEDIAN(F2:F6)</f>
        <v/>
      </c>
      <c r="G7" s="9">
        <f>MEDIAN(G2:G6)</f>
        <v/>
      </c>
      <c r="H7" s="2" t="inlineStr"/>
    </row>
    <row r="8">
      <c r="A8" s="2" t="inlineStr">
        <is>
          <t>Desconto empresa fechada/tamanho</t>
        </is>
      </c>
      <c r="B8" s="2" t="inlineStr"/>
      <c r="C8" s="8" t="inlineStr"/>
      <c r="D8" s="8" t="inlineStr"/>
      <c r="E8" s="5" t="n">
        <v>0.3</v>
      </c>
      <c r="F8" s="5" t="n">
        <v>0.3</v>
      </c>
      <c r="G8" s="5" t="n">
        <v>0.3</v>
      </c>
      <c r="H8" s="2" t="inlineStr">
        <is>
          <t>Ajustavel</t>
        </is>
      </c>
    </row>
    <row r="9">
      <c r="A9" s="2" t="inlineStr">
        <is>
          <t>Multiplo aplicado</t>
        </is>
      </c>
      <c r="B9" s="2" t="inlineStr"/>
      <c r="C9" s="8" t="inlineStr"/>
      <c r="D9" s="8" t="inlineStr"/>
      <c r="E9" s="9">
        <f>E7*(1-E8)</f>
        <v/>
      </c>
      <c r="F9" s="9">
        <f>F7*(1-F8)</f>
        <v/>
      </c>
      <c r="G9" s="9">
        <f>G7*(1-G8)</f>
        <v/>
      </c>
      <c r="H9" s="2" t="inlineStr"/>
    </row>
    <row r="10">
      <c r="A10" s="2" t="inlineStr">
        <is>
          <t>Receita Reis Ano 1</t>
        </is>
      </c>
      <c r="B10" s="2" t="inlineStr"/>
      <c r="C10" s="8">
        <f>FCD!C2</f>
        <v/>
      </c>
      <c r="D10" s="8" t="inlineStr"/>
      <c r="E10" s="8" t="inlineStr"/>
      <c r="F10" s="8" t="inlineStr"/>
      <c r="G10" s="8" t="inlineStr"/>
      <c r="H10" s="2" t="inlineStr"/>
    </row>
    <row r="11">
      <c r="A11" s="2" t="inlineStr">
        <is>
          <t>EBITDA Reis Ano 1</t>
        </is>
      </c>
      <c r="B11" s="2" t="inlineStr"/>
      <c r="C11" s="8" t="inlineStr"/>
      <c r="D11" s="8">
        <f>FCD!C8</f>
        <v/>
      </c>
      <c r="E11" s="8" t="inlineStr"/>
      <c r="F11" s="8" t="inlineStr"/>
      <c r="G11" s="8" t="inlineStr"/>
      <c r="H11" s="2" t="inlineStr"/>
    </row>
    <row r="12">
      <c r="A12" s="2" t="inlineStr">
        <is>
          <t>Lucro liquido proxy</t>
        </is>
      </c>
      <c r="B12" s="2" t="inlineStr"/>
      <c r="C12" s="8" t="inlineStr"/>
      <c r="D12" s="8">
        <f>FCD!C13</f>
        <v/>
      </c>
      <c r="E12" s="8" t="inlineStr"/>
      <c r="F12" s="8" t="inlineStr"/>
      <c r="G12" s="8" t="inlineStr"/>
      <c r="H12" s="2" t="inlineStr">
        <is>
          <t>NOPAT como proxy</t>
        </is>
      </c>
    </row>
    <row r="13">
      <c r="A13" s="2" t="inlineStr">
        <is>
          <t>Valor por EV/Receita</t>
        </is>
      </c>
      <c r="B13" s="2" t="inlineStr"/>
      <c r="C13" s="8" t="inlineStr"/>
      <c r="D13" s="8" t="inlineStr"/>
      <c r="E13" s="8">
        <f>C10*E9</f>
        <v/>
      </c>
      <c r="F13" s="8" t="inlineStr"/>
      <c r="G13" s="8" t="inlineStr"/>
      <c r="H13" s="2" t="inlineStr"/>
    </row>
    <row r="14">
      <c r="A14" s="2" t="inlineStr">
        <is>
          <t>Valor por EV/EBITDA</t>
        </is>
      </c>
      <c r="B14" s="2" t="inlineStr"/>
      <c r="C14" s="8" t="inlineStr"/>
      <c r="D14" s="8" t="inlineStr"/>
      <c r="E14" s="8" t="inlineStr"/>
      <c r="F14" s="8">
        <f>D11*F9</f>
        <v/>
      </c>
      <c r="G14" s="8" t="inlineStr"/>
      <c r="H14" s="2" t="inlineStr"/>
    </row>
    <row r="15">
      <c r="A15" s="2" t="inlineStr">
        <is>
          <t>Valor por P/L</t>
        </is>
      </c>
      <c r="B15" s="2" t="inlineStr"/>
      <c r="C15" s="8" t="inlineStr"/>
      <c r="D15" s="8" t="inlineStr"/>
      <c r="E15" s="8" t="inlineStr"/>
      <c r="F15" s="8" t="inlineStr"/>
      <c r="G15" s="8">
        <f>D12*G9</f>
        <v/>
      </c>
      <c r="H15" s="2" t="inlineStr"/>
    </row>
    <row r="16">
      <c r="A16" s="2" t="inlineStr">
        <is>
          <t>Enterprise value por multiplos</t>
        </is>
      </c>
      <c r="B16" s="2" t="inlineStr"/>
      <c r="C16" s="8" t="inlineStr"/>
      <c r="D16" s="8" t="inlineStr"/>
      <c r="E16" s="8" t="inlineStr"/>
      <c r="F16" s="8" t="inlineStr"/>
      <c r="G16" s="8">
        <f>AVERAGE(E13,F14,G15)</f>
        <v/>
      </c>
      <c r="H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Valor Patrimonial Ajustado</t>
        </is>
      </c>
      <c r="B1" s="1" t="inlineStr">
        <is>
          <t>Valor contabil</t>
        </is>
      </c>
      <c r="C1" s="1" t="inlineStr">
        <is>
          <t>Ajuste a mercado</t>
        </is>
      </c>
      <c r="D1" s="1" t="inlineStr">
        <is>
          <t>Valor ajustado</t>
        </is>
      </c>
      <c r="E1" s="1" t="inlineStr">
        <is>
          <t>Observacao</t>
        </is>
      </c>
    </row>
    <row r="2">
      <c r="A2" s="2" t="inlineStr">
        <is>
          <t>Maquinas de corte/costura/acabamento</t>
        </is>
      </c>
      <c r="B2" s="4" t="n">
        <v>2200000</v>
      </c>
      <c r="C2" s="5" t="n">
        <v>0.1</v>
      </c>
      <c r="D2" s="8">
        <f>B2*(1+C2)</f>
        <v/>
      </c>
      <c r="E2" s="2" t="inlineStr">
        <is>
          <t>Atualizar por laudo/valor de reposicao</t>
        </is>
      </c>
    </row>
    <row r="3">
      <c r="A3" s="2" t="inlineStr">
        <is>
          <t>Instalacoes e benfeitorias</t>
        </is>
      </c>
      <c r="B3" s="4" t="n">
        <v>900000</v>
      </c>
      <c r="C3" s="5" t="n">
        <v>0</v>
      </c>
      <c r="D3" s="8">
        <f>B3*(1+C3)</f>
        <v/>
      </c>
      <c r="E3" s="2" t="inlineStr">
        <is>
          <t>Galpao, layout fabril, eletrica</t>
        </is>
      </c>
    </row>
    <row r="4">
      <c r="A4" s="2" t="inlineStr">
        <is>
          <t>Estoque materia-prima e acabado</t>
        </is>
      </c>
      <c r="B4" s="4" t="n">
        <v>3400000</v>
      </c>
      <c r="C4" s="5" t="n">
        <v>-0.08</v>
      </c>
      <c r="D4" s="8">
        <f>B4*(1+C4)</f>
        <v/>
      </c>
      <c r="E4" s="2" t="inlineStr">
        <is>
          <t>Aplicar markdown/obsolescencia</t>
        </is>
      </c>
    </row>
    <row r="5">
      <c r="A5" s="2" t="inlineStr">
        <is>
          <t>Contas a receber</t>
        </is>
      </c>
      <c r="B5" s="4" t="n">
        <v>1900000</v>
      </c>
      <c r="C5" s="5" t="n">
        <v>-0.03</v>
      </c>
      <c r="D5" s="8">
        <f>B5*(1+C5)</f>
        <v/>
      </c>
      <c r="E5" s="2" t="inlineStr">
        <is>
          <t>Risco de inadimplencia</t>
        </is>
      </c>
    </row>
    <row r="6">
      <c r="A6" s="2" t="inlineStr">
        <is>
          <t>Caixa e equivalentes</t>
        </is>
      </c>
      <c r="B6" s="4" t="n">
        <v>450000</v>
      </c>
      <c r="C6" s="5" t="n">
        <v>0</v>
      </c>
      <c r="D6" s="8">
        <f>B6*(1+C6)</f>
        <v/>
      </c>
      <c r="E6" s="2" t="inlineStr"/>
    </row>
    <row r="7">
      <c r="A7" s="2" t="inlineStr">
        <is>
          <t>Outros ativos</t>
        </is>
      </c>
      <c r="B7" s="4" t="n">
        <v>250000</v>
      </c>
      <c r="C7" s="5" t="n">
        <v>0</v>
      </c>
      <c r="D7" s="8">
        <f>B7*(1+C7)</f>
        <v/>
      </c>
      <c r="E7" s="2" t="inlineStr"/>
    </row>
    <row r="8">
      <c r="A8" s="2" t="inlineStr">
        <is>
          <t>Dividas bancarias</t>
        </is>
      </c>
      <c r="B8" s="4" t="n">
        <v>-2800000</v>
      </c>
      <c r="C8" s="5" t="n">
        <v>0</v>
      </c>
      <c r="D8" s="8">
        <f>B8*(1+C8)</f>
        <v/>
      </c>
      <c r="E8" s="2" t="inlineStr">
        <is>
          <t>Valor liquido negativo</t>
        </is>
      </c>
    </row>
    <row r="9">
      <c r="A9" s="2" t="inlineStr">
        <is>
          <t>Fornecedores/impostos/contingencias</t>
        </is>
      </c>
      <c r="B9" s="4" t="n">
        <v>-1200000</v>
      </c>
      <c r="C9" s="5" t="n">
        <v>0</v>
      </c>
      <c r="D9" s="8">
        <f>B9*(1+C9)</f>
        <v/>
      </c>
      <c r="E9" s="2" t="inlineStr">
        <is>
          <t>Valor liquido negativo</t>
        </is>
      </c>
    </row>
    <row r="10">
      <c r="A10" s="2" t="inlineStr">
        <is>
          <t>Patrimonio liquido ajustado</t>
        </is>
      </c>
      <c r="B10" s="8" t="inlineStr"/>
      <c r="C10" s="6" t="inlineStr"/>
      <c r="D10" s="8">
        <f>SUM(D2:D9)</f>
        <v/>
      </c>
      <c r="E10" s="2" t="inlineStr"/>
    </row>
    <row r="11">
      <c r="A11" s="2" t="inlineStr"/>
      <c r="B11" s="8" t="inlineStr"/>
      <c r="C11" s="6" t="inlineStr"/>
      <c r="D11" s="8" t="inlineStr"/>
      <c r="E11" s="2" t="inlineStr"/>
    </row>
    <row r="12">
      <c r="A12" s="2" t="inlineStr">
        <is>
          <t>Intangiveis de marca</t>
        </is>
      </c>
      <c r="B12" s="8" t="inlineStr">
        <is>
          <t>Receita atribuida</t>
        </is>
      </c>
      <c r="C12" s="6" t="inlineStr">
        <is>
          <t>Royalty rate</t>
        </is>
      </c>
      <c r="D12" s="8" t="inlineStr">
        <is>
          <t>Valor da marca</t>
        </is>
      </c>
      <c r="E12" s="2" t="inlineStr">
        <is>
          <t>Observacao</t>
        </is>
      </c>
    </row>
    <row r="13">
      <c r="A13" s="2" t="inlineStr">
        <is>
          <t>Marca Lelooks</t>
        </is>
      </c>
      <c r="B13" s="8">
        <f>FCD!C2*Inputs!B5</f>
        <v/>
      </c>
      <c r="C13" s="6" t="n">
        <v>0.025</v>
      </c>
      <c r="D13" s="8">
        <f>B13*C13*(1-Inputs!B18)/(Inputs!B32-Inputs!B33)</f>
        <v/>
      </c>
      <c r="E13" s="2" t="inlineStr">
        <is>
          <t>Metodo relief-from-royalty</t>
        </is>
      </c>
    </row>
    <row r="14">
      <c r="A14" s="2" t="inlineStr">
        <is>
          <t>Marca Piratas for men</t>
        </is>
      </c>
      <c r="B14" s="8">
        <f>FCD!C2*Inputs!B6</f>
        <v/>
      </c>
      <c r="C14" s="5" t="n">
        <v>0.02</v>
      </c>
      <c r="D14" s="8">
        <f>B14*C14*(1-Inputs!B18)/(Inputs!B32-Inputs!B33)</f>
        <v/>
      </c>
      <c r="E14" s="2" t="inlineStr">
        <is>
          <t>Metodo relief-from-royalty</t>
        </is>
      </c>
    </row>
    <row r="15">
      <c r="A15" s="2" t="inlineStr">
        <is>
          <t>Valor patrimonial + intangiveis</t>
        </is>
      </c>
      <c r="B15" s="8" t="inlineStr"/>
      <c r="C15" s="5" t="inlineStr"/>
      <c r="D15" s="8">
        <f>D10+SUM(D13:D14)</f>
        <v/>
      </c>
      <c r="E15" s="2" t="inlineStr"/>
    </row>
    <row r="16">
      <c r="A16" s="2" t="n"/>
      <c r="B16" s="8" t="n"/>
      <c r="C16" s="6" t="n"/>
      <c r="D16" s="8" t="n"/>
      <c r="E1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Sensibilidade FCD - EV por WACC e crescimento perpetuo</t>
        </is>
      </c>
      <c r="B1" s="1" t="n"/>
      <c r="C1" s="1" t="n"/>
      <c r="D1" s="1" t="n"/>
      <c r="E1" s="1" t="n"/>
      <c r="F1" s="1" t="n"/>
    </row>
    <row r="2">
      <c r="A2" s="6" t="inlineStr">
        <is>
          <t>WACC \ g</t>
        </is>
      </c>
      <c r="B2" s="6" t="n">
        <v>0.025</v>
      </c>
      <c r="C2" s="6" t="n">
        <v>0.035</v>
      </c>
      <c r="D2" s="6" t="n">
        <v>0.045</v>
      </c>
      <c r="E2" s="6" t="n">
        <v>0.055</v>
      </c>
      <c r="F2" s="6" t="n">
        <v>0.065</v>
      </c>
    </row>
    <row r="3">
      <c r="A3" s="6" t="n">
        <v>0.145</v>
      </c>
      <c r="B3" s="8">
        <f>SUM(FCD!C19:G19)+FCD!G17*(1+B2)/(A3-B2)*FCD!G18</f>
        <v/>
      </c>
      <c r="C3" s="8">
        <f>SUM(FCD!C19:G19)+FCD!G17*(1+C2)/(A3-C2)*FCD!G18</f>
        <v/>
      </c>
      <c r="D3" s="8">
        <f>SUM(FCD!C19:G19)+FCD!G17*(1+D2)/(A3-D2)*FCD!G18</f>
        <v/>
      </c>
      <c r="E3" s="8">
        <f>SUM(FCD!C19:G19)+FCD!G17*(1+E2)/(A3-E2)*FCD!G18</f>
        <v/>
      </c>
      <c r="F3" s="8">
        <f>SUM(FCD!C19:G19)+FCD!G17*(1+F2)/(A3-F2)*FCD!G18</f>
        <v/>
      </c>
    </row>
    <row r="4">
      <c r="A4" s="6" t="n">
        <v>0.16</v>
      </c>
      <c r="B4" s="8">
        <f>SUM(FCD!C19:G19)+FCD!G17*(1+B2)/(A4-B2)*FCD!G18</f>
        <v/>
      </c>
      <c r="C4" s="8">
        <f>SUM(FCD!C19:G19)+FCD!G17*(1+C2)/(A4-C2)*FCD!G18</f>
        <v/>
      </c>
      <c r="D4" s="8">
        <f>SUM(FCD!C19:G19)+FCD!G17*(1+D2)/(A4-D2)*FCD!G18</f>
        <v/>
      </c>
      <c r="E4" s="8">
        <f>SUM(FCD!C19:G19)+FCD!G17*(1+E2)/(A4-E2)*FCD!G18</f>
        <v/>
      </c>
      <c r="F4" s="8">
        <f>SUM(FCD!C19:G19)+FCD!G17*(1+F2)/(A4-F2)*FCD!G18</f>
        <v/>
      </c>
    </row>
    <row r="5">
      <c r="A5" s="6" t="n">
        <v>0.175</v>
      </c>
      <c r="B5" s="8">
        <f>SUM(FCD!C19:G19)+FCD!G17*(1+B2)/(A5-B2)*FCD!G18</f>
        <v/>
      </c>
      <c r="C5" s="8">
        <f>SUM(FCD!C19:G19)+FCD!G17*(1+C2)/(A5-C2)*FCD!G18</f>
        <v/>
      </c>
      <c r="D5" s="8">
        <f>SUM(FCD!C19:G19)+FCD!G17*(1+D2)/(A5-D2)*FCD!G18</f>
        <v/>
      </c>
      <c r="E5" s="8">
        <f>SUM(FCD!C19:G19)+FCD!G17*(1+E2)/(A5-E2)*FCD!G18</f>
        <v/>
      </c>
      <c r="F5" s="8">
        <f>SUM(FCD!C19:G19)+FCD!G17*(1+F2)/(A5-F2)*FCD!G18</f>
        <v/>
      </c>
    </row>
    <row r="6">
      <c r="A6" s="6" t="n">
        <v>0.19</v>
      </c>
      <c r="B6" s="8">
        <f>SUM(FCD!C19:G19)+FCD!G17*(1+B2)/(A6-B2)*FCD!G18</f>
        <v/>
      </c>
      <c r="C6" s="8">
        <f>SUM(FCD!C19:G19)+FCD!G17*(1+C2)/(A6-C2)*FCD!G18</f>
        <v/>
      </c>
      <c r="D6" s="8">
        <f>SUM(FCD!C19:G19)+FCD!G17*(1+D2)/(A6-D2)*FCD!G18</f>
        <v/>
      </c>
      <c r="E6" s="8">
        <f>SUM(FCD!C19:G19)+FCD!G17*(1+E2)/(A6-E2)*FCD!G18</f>
        <v/>
      </c>
      <c r="F6" s="8">
        <f>SUM(FCD!C19:G19)+FCD!G17*(1+F2)/(A6-F2)*FCD!G18</f>
        <v/>
      </c>
    </row>
    <row r="7">
      <c r="A7" s="6" t="n">
        <v>0.205</v>
      </c>
      <c r="B7" s="8">
        <f>SUM(FCD!C19:G19)+FCD!G17*(1+B2)/(A7-B2)*FCD!G18</f>
        <v/>
      </c>
      <c r="C7" s="8">
        <f>SUM(FCD!C19:G19)+FCD!G17*(1+C2)/(A7-C2)*FCD!G18</f>
        <v/>
      </c>
      <c r="D7" s="8">
        <f>SUM(FCD!C19:G19)+FCD!G17*(1+D2)/(A7-D2)*FCD!G18</f>
        <v/>
      </c>
      <c r="E7" s="8">
        <f>SUM(FCD!C19:G19)+FCD!G17*(1+E2)/(A7-E2)*FCD!G18</f>
        <v/>
      </c>
      <c r="F7" s="8">
        <f>SUM(FCD!C19:G19)+FCD!G17*(1+F2)/(A7-F2)*FCD!G18</f>
        <v/>
      </c>
    </row>
    <row r="8">
      <c r="A8" s="2" t="inlineStr"/>
      <c r="B8" s="2" t="n"/>
      <c r="C8" s="2" t="n"/>
      <c r="D8" s="2" t="n"/>
      <c r="E8" s="2" t="n"/>
      <c r="F8" s="2" t="n"/>
    </row>
    <row r="9">
      <c r="A9" s="9" t="inlineStr">
        <is>
          <t>Sensibilidade multiplos - EV por margem EBITDA e EV/EBITDA</t>
        </is>
      </c>
      <c r="B9" s="9" t="n"/>
      <c r="C9" s="9" t="n"/>
      <c r="D9" s="9" t="n"/>
      <c r="E9" s="9" t="n"/>
      <c r="F9" s="9" t="n"/>
    </row>
    <row r="10">
      <c r="A10" s="6" t="n">
        <v>0.12</v>
      </c>
      <c r="B10" s="8">
        <f>FCD!C2*A10*B9</f>
        <v/>
      </c>
      <c r="C10" s="8">
        <f>FCD!C2*A10*C9</f>
        <v/>
      </c>
      <c r="D10" s="8">
        <f>FCD!C2*A10*D9</f>
        <v/>
      </c>
      <c r="E10" s="8">
        <f>FCD!C2*A10*E9</f>
        <v/>
      </c>
      <c r="F10" s="8">
        <f>FCD!C2*A10*F9</f>
        <v/>
      </c>
    </row>
    <row r="11">
      <c r="A11" s="6" t="n">
        <v>0.16</v>
      </c>
      <c r="B11" s="8">
        <f>FCD!C2*A11*B9</f>
        <v/>
      </c>
      <c r="C11" s="8">
        <f>FCD!C2*A11*C9</f>
        <v/>
      </c>
      <c r="D11" s="8">
        <f>FCD!C2*A11*D9</f>
        <v/>
      </c>
      <c r="E11" s="8">
        <f>FCD!C2*A11*E9</f>
        <v/>
      </c>
      <c r="F11" s="8">
        <f>FCD!C2*A11*F9</f>
        <v/>
      </c>
    </row>
    <row r="12">
      <c r="A12" s="6" t="n">
        <v>0.2</v>
      </c>
      <c r="B12" s="8">
        <f>FCD!C2*A12*B9</f>
        <v/>
      </c>
      <c r="C12" s="8">
        <f>FCD!C2*A12*C9</f>
        <v/>
      </c>
      <c r="D12" s="8">
        <f>FCD!C2*A12*D9</f>
        <v/>
      </c>
      <c r="E12" s="8">
        <f>FCD!C2*A12*E9</f>
        <v/>
      </c>
      <c r="F12" s="8">
        <f>FCD!C2*A12*F9</f>
        <v/>
      </c>
    </row>
    <row r="13">
      <c r="A13" s="6" t="n">
        <v>0.24</v>
      </c>
      <c r="B13" s="8">
        <f>FCD!C2*A13*B9</f>
        <v/>
      </c>
      <c r="C13" s="8">
        <f>FCD!C2*A13*C9</f>
        <v/>
      </c>
      <c r="D13" s="8">
        <f>FCD!C2*A13*D9</f>
        <v/>
      </c>
      <c r="E13" s="8">
        <f>FCD!C2*A13*E9</f>
        <v/>
      </c>
      <c r="F13" s="8">
        <f>FCD!C2*A13*F9</f>
        <v/>
      </c>
    </row>
    <row r="14">
      <c r="A14" s="6" t="n">
        <v>0.28</v>
      </c>
      <c r="B14" s="8">
        <f>FCD!C2*A14*B9</f>
        <v/>
      </c>
      <c r="C14" s="8">
        <f>FCD!C2*A14*C9</f>
        <v/>
      </c>
      <c r="D14" s="8">
        <f>FCD!C2*A14*D9</f>
        <v/>
      </c>
      <c r="E14" s="8">
        <f>FCD!C2*A14*E9</f>
        <v/>
      </c>
      <c r="F14" s="8">
        <f>FCD!C2*A14*F9</f>
        <v/>
      </c>
    </row>
  </sheetData>
  <conditionalFormatting sqref="B3:F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:F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Resumo do Valuation - Fabrica Reis</t>
        </is>
      </c>
      <c r="B1" s="1" t="n"/>
      <c r="C1" s="1" t="n"/>
      <c r="D1" s="1" t="n"/>
    </row>
    <row r="2">
      <c r="A2" s="2" t="inlineStr">
        <is>
          <t>Enterprise value FCD</t>
        </is>
      </c>
      <c r="B2" s="8">
        <f>FCD!G22</f>
        <v/>
      </c>
      <c r="C2" s="2" t="inlineStr">
        <is>
          <t>Peso</t>
        </is>
      </c>
      <c r="D2" s="6">
        <f>Inputs!B37</f>
        <v/>
      </c>
    </row>
    <row r="3">
      <c r="A3" s="2" t="inlineStr">
        <is>
          <t>Enterprise value por multiplos</t>
        </is>
      </c>
      <c r="B3" s="8">
        <f>Multiplos!G16</f>
        <v/>
      </c>
      <c r="C3" s="2" t="inlineStr">
        <is>
          <t>Peso</t>
        </is>
      </c>
      <c r="D3" s="6">
        <f>Inputs!B38</f>
        <v/>
      </c>
    </row>
    <row r="4">
      <c r="A4" s="2" t="inlineStr">
        <is>
          <t>Valor patrimonial + intangiveis</t>
        </is>
      </c>
      <c r="B4" s="8">
        <f>Patrimonial!D15</f>
        <v/>
      </c>
      <c r="C4" s="2" t="inlineStr">
        <is>
          <t>Peso</t>
        </is>
      </c>
      <c r="D4" s="6">
        <f>Inputs!B39</f>
        <v/>
      </c>
    </row>
    <row r="5">
      <c r="A5" s="2" t="inlineStr">
        <is>
          <t>Valor final estimado ponderado</t>
        </is>
      </c>
      <c r="B5" s="8">
        <f>SUMPRODUCT(B2:B4,D2:D4)/SUM(D2:D4)</f>
        <v/>
      </c>
      <c r="C5" s="2" t="inlineStr"/>
      <c r="D5" s="6" t="inlineStr"/>
    </row>
    <row r="6">
      <c r="A6" s="2" t="inlineStr">
        <is>
          <t>Faixa baixa (-15%)</t>
        </is>
      </c>
      <c r="B6" s="8">
        <f>B5*0.85</f>
        <v/>
      </c>
      <c r="C6" s="2" t="inlineStr"/>
      <c r="D6" s="6" t="inlineStr"/>
    </row>
    <row r="7">
      <c r="A7" s="2" t="inlineStr">
        <is>
          <t>Faixa alta (+15%)</t>
        </is>
      </c>
      <c r="B7" s="8">
        <f>B5*1.15</f>
        <v/>
      </c>
      <c r="C7" s="2" t="inlineStr"/>
      <c r="D7" s="6" t="inlineStr"/>
    </row>
    <row r="8">
      <c r="A8" s="2" t="inlineStr">
        <is>
          <t>Margem EBITDA ano 1</t>
        </is>
      </c>
      <c r="B8" s="8">
        <f>FCD!C9</f>
        <v/>
      </c>
      <c r="C8" s="2" t="inlineStr"/>
      <c r="D8" s="6" t="inlineStr"/>
    </row>
    <row r="9">
      <c r="A9" s="2" t="inlineStr">
        <is>
          <t>WACC</t>
        </is>
      </c>
      <c r="B9" s="6">
        <f>Inputs!B32</f>
        <v/>
      </c>
      <c r="C9" s="2" t="inlineStr"/>
      <c r="D9" s="6" t="inlineStr"/>
    </row>
    <row r="10">
      <c r="A10" s="2" t="inlineStr">
        <is>
          <t>Crescimento perpetuo</t>
        </is>
      </c>
      <c r="B10" s="6">
        <f>Inputs!B33</f>
        <v/>
      </c>
      <c r="C10" s="2" t="inlineStr"/>
      <c r="D10" s="6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  <col width="42" customWidth="1" min="3" max="3"/>
  </cols>
  <sheetData>
    <row r="1">
      <c r="A1" s="1" t="inlineStr">
        <is>
          <t>Data de elaboracao</t>
        </is>
      </c>
      <c r="B1" s="1" t="inlineStr">
        <is>
          <t>16/04/2026</t>
        </is>
      </c>
      <c r="C1" s="1" t="n"/>
    </row>
    <row r="2">
      <c r="A2" s="2" t="inlineStr">
        <is>
          <t>Observacao</t>
        </is>
      </c>
      <c r="B2" s="2" t="inlineStr">
        <is>
          <t>Multiples sao inputs editaveis e devem ser atualizados com cotacoes/EV do dia antes de uma decisao vinculante.</t>
        </is>
      </c>
      <c r="C2" s="2" t="n"/>
    </row>
    <row r="3">
      <c r="A3" s="2" t="inlineStr">
        <is>
          <t>Fonte</t>
        </is>
      </c>
      <c r="B3" s="2" t="inlineStr">
        <is>
          <t>Link</t>
        </is>
      </c>
      <c r="C3" s="2" t="inlineStr">
        <is>
          <t>Uso no modelo</t>
        </is>
      </c>
    </row>
    <row r="4">
      <c r="A4" s="2" t="inlineStr">
        <is>
          <t>InfoMoney - Riachuelo 4T25</t>
        </is>
      </c>
      <c r="B4" s="2" t="inlineStr">
        <is>
          <t>https://www.infomoney.com.br/mercados/riachuelo-riaa3-resultados-quarto-trimestre-2025/</t>
        </is>
      </c>
      <c r="C4" s="2" t="inlineStr">
        <is>
          <t>Receita/EBITDA de referencia setorial</t>
        </is>
      </c>
    </row>
    <row r="5">
      <c r="A5" s="2" t="inlineStr">
        <is>
          <t>FashionUnited - Riachuelo 2025</t>
        </is>
      </c>
      <c r="B5" s="2" t="inlineStr">
        <is>
          <t>https://fashionunited.com/news/business/riachuelo-parent-company-guararapes-ends-2025-with-over-100-percent-growth/2026022370741</t>
        </is>
      </c>
      <c r="C5" s="2" t="inlineStr">
        <is>
          <t>Resultados anuais 2025 e valor de mercado citado</t>
        </is>
      </c>
    </row>
    <row r="6">
      <c r="A6" s="2" t="inlineStr">
        <is>
          <t>Visno Invest - Lojas Renner 2025</t>
        </is>
      </c>
      <c r="B6" s="2" t="inlineStr">
        <is>
          <t>https://visnoinvest.com.br/news/11946/lojas-renner-lren3-registra-lucro-de-1-5-bi-em-2025</t>
        </is>
      </c>
      <c r="C6" s="2" t="inlineStr">
        <is>
          <t>Receita e EBITDA anual de par</t>
        </is>
      </c>
    </row>
    <row r="7">
      <c r="A7" s="2" t="inlineStr">
        <is>
          <t>Revista Fator Brasil - C&amp;A 2025</t>
        </is>
      </c>
      <c r="B7" s="2" t="inlineStr">
        <is>
          <t>https://www.revistafatorbrasil.com.br/2026/02/26/ca-apresenta-lucro-liquido-de-r-5871-milhoes-em-2025-com-alta-de-297/</t>
        </is>
      </c>
      <c r="C7" s="2" t="inlineStr">
        <is>
          <t>Receita e indicadores de par</t>
        </is>
      </c>
    </row>
    <row r="8">
      <c r="A8" s="2" t="inlineStr">
        <is>
          <t>ADVFN - Azzas 2154 4T25</t>
        </is>
      </c>
      <c r="B8" s="2" t="inlineStr">
        <is>
          <t>https://br.advfn.com/jornal/2026/03/azzas-2154-tem-lucro-liquido-de-r-168-milhoes-no-4t25-resultado-anual-sobe-30-5-em-2025</t>
        </is>
      </c>
      <c r="C8" s="2" t="inlineStr">
        <is>
          <t>EBITDA e lucro de par</t>
        </is>
      </c>
    </row>
    <row r="9">
      <c r="A9" s="2" t="inlineStr">
        <is>
          <t>BP Money - Vulcabras 4T25</t>
        </is>
      </c>
      <c r="B9" s="2" t="inlineStr">
        <is>
          <t>https://bpmoney.com.br/mercado/vulcabras-vulc3-lucra-r-1588-milhoes-no-4t25-queda-de-61/</t>
        </is>
      </c>
      <c r="C9" s="2" t="inlineStr">
        <is>
          <t>EBITDA e receita de 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2026-04-16T17:39:30Z</dcterms:created>
  <dcterms:modified xsi:type="dcterms:W3CDTF">2026-04-16T17:39:30Z</dcterms:modified>
</cp:coreProperties>
</file>